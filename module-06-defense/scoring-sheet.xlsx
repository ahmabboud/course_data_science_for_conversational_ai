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chedule" sheetId="1" state="visible" r:id="rId3"/>
    <sheet name="Scoring" sheetId="2" state="visible" r:id="rId4"/>
    <sheet name="Rubric"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<sst xmlns="http://schemas.openxmlformats.org/spreadsheetml/2006/main" count="87" uniqueCount="82">
  <si>
    <t xml:space="preserve">Module 6 defense day, running schedule</t>
  </si>
  <si>
    <t xml:space="preserve">Fill in B4 with the real session start time. This example uses 8 team rows so it covers the syllabus's stated cohort range (6 to 7 teams) with room to spare, not because 8 teams is expected. Delete or duplicate team and changeover rows to match the actual team count. Every planned start and end below recalculates from B4 and the Duration column. This example totals 270 minutes; the instructor's own call is to run the normal 180-minute block and use up to 1 more hour if the real team count needs it, not to hit an exact total.</t>
  </si>
  <si>
    <t xml:space="preserve">Yellow cell (B4) is the only one you edit here.</t>
  </si>
  <si>
    <t xml:space="preserve">Session start time</t>
  </si>
  <si>
    <t xml:space="preserve">#</t>
  </si>
  <si>
    <t xml:space="preserve">Segment</t>
  </si>
  <si>
    <t xml:space="preserve">Duration (min)</t>
  </si>
  <si>
    <t xml:space="preserve">Planned start</t>
  </si>
  <si>
    <t xml:space="preserve">Planned end</t>
  </si>
  <si>
    <t xml:space="preserve">Actual start (fill live)</t>
  </si>
  <si>
    <t xml:space="preserve">Notes (fill live)</t>
  </si>
  <si>
    <t xml:space="preserve">Opening and instructions</t>
  </si>
  <si>
    <t xml:space="preserve">Team 1: present (12) and Q&amp;A (12)</t>
  </si>
  <si>
    <t xml:space="preserve">Changeover</t>
  </si>
  <si>
    <t xml:space="preserve">Team 2: present (12) and Q&amp;A (12)</t>
  </si>
  <si>
    <t xml:space="preserve">Team 3: present (12) and Q&amp;A (12)</t>
  </si>
  <si>
    <t xml:space="preserve">Team 4: present (12) and Q&amp;A (12)</t>
  </si>
  <si>
    <t xml:space="preserve">Break</t>
  </si>
  <si>
    <t xml:space="preserve">Team 5: present (12) and Q&amp;A (12)</t>
  </si>
  <si>
    <t xml:space="preserve">Team 6: present (12) and Q&amp;A (12)</t>
  </si>
  <si>
    <t xml:space="preserve">Team 7: present (12) and Q&amp;A (12)</t>
  </si>
  <si>
    <t xml:space="preserve">Team 8: present (12) and Q&amp;A (12)</t>
  </si>
  <si>
    <t xml:space="preserve">Instructor deliberation and score reconciliation</t>
  </si>
  <si>
    <t xml:space="preserve">Course close</t>
  </si>
  <si>
    <t xml:space="preserve">Total</t>
  </si>
  <si>
    <t xml:space="preserve">Module 6 defense scoring sheet</t>
  </si>
  <si>
    <t xml:space="preserve">One row per team. Fill in the four 25-point sub-scores during or right after each defense; the subtotals, total, and rank recalculate automatically. Band descriptions for each sub-score are on the Rubric tab.</t>
  </si>
  <si>
    <t xml:space="preserve">Yellow cells (the four sub-scores per team, and the team/topic/paper/extension text columns) are where you enter data. Every other column calculates automatically, do not type into it.</t>
  </si>
  <si>
    <t xml:space="preserve">Team #</t>
  </si>
  <si>
    <t xml:space="preserve">Team name</t>
  </si>
  <si>
    <t xml:space="preserve">Topic</t>
  </si>
  <si>
    <t xml:space="preserve">Paper</t>
  </si>
  <si>
    <t xml:space="preserve">Extension in one line</t>
  </si>
  <si>
    <t xml:space="preserve">Code and reproduction quality (0-25)</t>
  </si>
  <si>
    <t xml:space="preserve">Depth of understanding (0-25)</t>
  </si>
  <si>
    <t xml:space="preserve">Execution subtotal (0-50)</t>
  </si>
  <si>
    <t xml:space="preserve">Motivation and value (0-25)</t>
  </si>
  <si>
    <t xml:space="preserve">Result quality (0-25)</t>
  </si>
  <si>
    <t xml:space="preserve">Novelty subtotal (0-50)</t>
  </si>
  <si>
    <t xml:space="preserve">Total (0-100)</t>
  </si>
  <si>
    <t xml:space="preserve">Rank</t>
  </si>
  <si>
    <t xml:space="preserve">Notes</t>
  </si>
  <si>
    <t xml:space="preserve">Example: Team Gorilla</t>
  </si>
  <si>
    <t xml:space="preserve">Extraction</t>
  </si>
  <si>
    <t xml:space="preserve">Gorilla (arXiv:2305.15334)</t>
  </si>
  <si>
    <t xml:space="preserve">Retrieval-aware fine-tuning for an unseen API category</t>
  </si>
  <si>
    <t xml:space="preserve">Example row, replace before use</t>
  </si>
  <si>
    <t xml:space="preserve">Team 2</t>
  </si>
  <si>
    <t xml:space="preserve">Team 3</t>
  </si>
  <si>
    <t xml:space="preserve">Team 4</t>
  </si>
  <si>
    <t xml:space="preserve">Team 5</t>
  </si>
  <si>
    <t xml:space="preserve">Team 6</t>
  </si>
  <si>
    <t xml:space="preserve">Team 7</t>
  </si>
  <si>
    <t xml:space="preserve">Team 8</t>
  </si>
  <si>
    <t xml:space="preserve">Cohort average total</t>
  </si>
  <si>
    <t xml:space="preserve">Rubric band descriptions, 25 points per sub-criterion</t>
  </si>
  <si>
    <t xml:space="preserve">Source: PROJECT-REDESIGN.md's 100-point, 50/50 rubric (execution and understanding, novelty and value of the extension). Bands below expand each 25-point sub-criterion into four ranges for consistent scoring across teams; the redesign document itself does not fix band language, this is this file's own operationalization of it.</t>
  </si>
  <si>
    <t xml:space="preserve">Sub-criterion (25 pts)</t>
  </si>
  <si>
    <t xml:space="preserve">0 to 6: does not meet</t>
  </si>
  <si>
    <t xml:space="preserve">7 to 13: partially meets</t>
  </si>
  <si>
    <t xml:space="preserve">14 to 19: meets</t>
  </si>
  <si>
    <t xml:space="preserve">20 to 25: exceeds</t>
  </si>
  <si>
    <t xml:space="preserve">Code and reproduction quality</t>
  </si>
  <si>
    <t xml:space="preserve">Baseline does not run, or the extension is not actually implemented, only described.</t>
  </si>
  <si>
    <t xml:space="preserve">Baseline runs with instructor help or major gaps; extension is partially implemented or unreliable.</t>
  </si>
  <si>
    <t xml:space="preserve">Baseline runs as documented; extension is implemented and works on the demonstrated cases.</t>
  </si>
  <si>
    <t xml:space="preserve">Baseline runs cleanly and is well-documented; extension is implemented, tested, and robust beyond the one demo case.</t>
  </si>
  <si>
    <t xml:space="preserve">Depth of understanding of the current research</t>
  </si>
  <si>
    <t xml:space="preserve">Cannot explain the baseline paper's problem or method accurately; answers only about the team's own added part.</t>
  </si>
  <si>
    <t xml:space="preserve">Explains the baseline paper's method at a surface level; struggles with follow-up questions on it.</t>
  </si>
  <si>
    <t xml:space="preserve">Explains the baseline paper's problem, method, and results accurately; answers most follow-up questions.</t>
  </si>
  <si>
    <t xml:space="preserve">Explains the baseline paper's problem, method, and results accurately and fluently; any of the three teammates can answer detailed follow-up questions.</t>
  </si>
  <si>
    <t xml:space="preserve">Motivation and value of the extension</t>
  </si>
  <si>
    <t xml:space="preserve">No clear limitation named, or the extension is novelty for its own sake with no stated use.</t>
  </si>
  <si>
    <t xml:space="preserve">A limitation is named but vague or not clearly tied to the baseline; usefulness is asserted, not argued.</t>
  </si>
  <si>
    <t xml:space="preserve">A specific, real limitation of the baseline motivates the extension, and its usefulness is argued clearly.</t>
  </si>
  <si>
    <t xml:space="preserve">The limitation and its motivation are precise and well-evidenced; the extension's usefulness is argued convincingly, including why it matters beyond this course.</t>
  </si>
  <si>
    <t xml:space="preserve">Result quality</t>
  </si>
  <si>
    <t xml:space="preserve">No real comparison against the baseline, or results are not credible.</t>
  </si>
  <si>
    <t xml:space="preserve">A comparison exists but is weak (too few cases, no baseline number to compare against, or an unexplained gap).</t>
  </si>
  <si>
    <t xml:space="preserve">A real, direct comparison against the baseline, credible results, and an honest smoke-test disclosure if one was used.</t>
  </si>
  <si>
    <t xml:space="preserve">A rigorous comparison against the baseline with credible, well-presented results, and a precise, honest account of what a full-scale validation would additionally require.</t>
  </si>
</sst>
</file>

<file path=xl/styles.xml><?xml version="1.0" encoding="utf-8"?>
<styleSheet xmlns="http://schemas.openxmlformats.org/spreadsheetml/2006/main">
  <numFmts count="2">
    <numFmt numFmtId="164" formatCode="General"/>
    <numFmt numFmtId="165" formatCode="h:mm\ AM/PM"/>
  </numFmts>
  <fonts count="9">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11"/>
      <name val="Arial"/>
      <family val="0"/>
      <charset val="1"/>
    </font>
    <font>
      <b val="true"/>
      <sz val="11"/>
      <name val="Arial"/>
      <family val="0"/>
      <charset val="1"/>
    </font>
    <font>
      <sz val="11"/>
      <name val="Arial"/>
      <family val="0"/>
      <charset val="1"/>
    </font>
    <font>
      <b val="true"/>
      <sz val="11"/>
      <color rgb="FFFFFFFF"/>
      <name val="Arial"/>
      <family val="0"/>
      <charset val="1"/>
    </font>
  </fonts>
  <fills count="4">
    <fill>
      <patternFill patternType="none"/>
    </fill>
    <fill>
      <patternFill patternType="gray125"/>
    </fill>
    <fill>
      <patternFill patternType="solid">
        <fgColor rgb="FFFFFF00"/>
        <bgColor rgb="FFFFFF00"/>
      </patternFill>
    </fill>
    <fill>
      <patternFill patternType="solid">
        <fgColor rgb="FF1F3864"/>
        <bgColor rgb="FF333333"/>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5" fontId="7" fillId="2" borderId="0" xfId="0" applyFont="true" applyBorder="false" applyAlignment="true" applyProtection="false">
      <alignment horizontal="general" vertical="bottom" textRotation="0" wrapText="fals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5" fontId="7" fillId="0" borderId="1" xfId="0" applyFont="true" applyBorder="true" applyAlignment="tru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4"/>
    <col collapsed="false" customWidth="true" hidden="false" outlineLevel="0" max="2" min="2" style="1" width="40"/>
    <col collapsed="false" customWidth="true" hidden="false" outlineLevel="0" max="5" min="3" style="1" width="14"/>
    <col collapsed="false" customWidth="true" hidden="false" outlineLevel="0" max="6" min="6" style="1" width="20"/>
    <col collapsed="false" customWidth="true" hidden="false" outlineLevel="0" max="7" min="7" style="1" width="30"/>
  </cols>
  <sheetData>
    <row r="1" customFormat="false" ht="17.25" hidden="false" customHeight="true" outlineLevel="0" collapsed="false">
      <c r="A1" s="2" t="s">
        <v>0</v>
      </c>
    </row>
    <row r="2" customFormat="false" ht="75" hidden="false" customHeight="true" outlineLevel="0" collapsed="false">
      <c r="A2" s="3" t="s">
        <v>1</v>
      </c>
      <c r="B2" s="3"/>
      <c r="C2" s="3"/>
      <c r="D2" s="3"/>
      <c r="E2" s="3"/>
      <c r="F2" s="3"/>
    </row>
    <row r="3" customFormat="false" ht="15" hidden="false" customHeight="true" outlineLevel="0" collapsed="false">
      <c r="A3" s="4" t="s">
        <v>2</v>
      </c>
    </row>
    <row r="4" customFormat="false" ht="15" hidden="false" customHeight="true" outlineLevel="0" collapsed="false">
      <c r="A4" s="5" t="s">
        <v>3</v>
      </c>
      <c r="B4" s="6" t="n">
        <v>0.375</v>
      </c>
    </row>
    <row r="6" customFormat="false" ht="26.25" hidden="false" customHeight="true" outlineLevel="0" collapsed="false">
      <c r="A6" s="7" t="s">
        <v>4</v>
      </c>
      <c r="B6" s="7" t="s">
        <v>5</v>
      </c>
      <c r="C6" s="7" t="s">
        <v>6</v>
      </c>
      <c r="D6" s="7" t="s">
        <v>7</v>
      </c>
      <c r="E6" s="7" t="s">
        <v>8</v>
      </c>
      <c r="F6" s="7" t="s">
        <v>9</v>
      </c>
      <c r="G6" s="7" t="s">
        <v>10</v>
      </c>
    </row>
    <row r="7" customFormat="false" ht="15" hidden="false" customHeight="true" outlineLevel="0" collapsed="false">
      <c r="A7" s="8" t="n">
        <v>1</v>
      </c>
      <c r="B7" s="9" t="s">
        <v>11</v>
      </c>
      <c r="C7" s="8" t="n">
        <v>15</v>
      </c>
      <c r="D7" s="10" t="n">
        <f aca="false">$B$4</f>
        <v>0.375</v>
      </c>
      <c r="E7" s="10" t="n">
        <f aca="false">D7+C7/1440</f>
        <v>0.385416666666667</v>
      </c>
      <c r="F7" s="8"/>
      <c r="G7" s="8"/>
    </row>
    <row r="8" customFormat="false" ht="15" hidden="false" customHeight="true" outlineLevel="0" collapsed="false">
      <c r="A8" s="8" t="n">
        <v>2</v>
      </c>
      <c r="B8" s="9" t="s">
        <v>12</v>
      </c>
      <c r="C8" s="8" t="n">
        <v>24</v>
      </c>
      <c r="D8" s="10" t="n">
        <f aca="false">E7</f>
        <v>0.385416666666667</v>
      </c>
      <c r="E8" s="10" t="n">
        <f aca="false">D8+C8/1440</f>
        <v>0.402083333333333</v>
      </c>
      <c r="F8" s="8"/>
      <c r="G8" s="8"/>
    </row>
    <row r="9" customFormat="false" ht="15" hidden="false" customHeight="true" outlineLevel="0" collapsed="false">
      <c r="A9" s="8" t="n">
        <v>3</v>
      </c>
      <c r="B9" s="9" t="s">
        <v>13</v>
      </c>
      <c r="C9" s="8" t="n">
        <v>3</v>
      </c>
      <c r="D9" s="10" t="n">
        <f aca="false">E8</f>
        <v>0.402083333333333</v>
      </c>
      <c r="E9" s="10" t="n">
        <f aca="false">D9+C9/1440</f>
        <v>0.404166666666667</v>
      </c>
      <c r="F9" s="8"/>
      <c r="G9" s="8"/>
    </row>
    <row r="10" customFormat="false" ht="15" hidden="false" customHeight="true" outlineLevel="0" collapsed="false">
      <c r="A10" s="8" t="n">
        <v>4</v>
      </c>
      <c r="B10" s="9" t="s">
        <v>14</v>
      </c>
      <c r="C10" s="8" t="n">
        <v>24</v>
      </c>
      <c r="D10" s="10" t="n">
        <f aca="false">E9</f>
        <v>0.404166666666667</v>
      </c>
      <c r="E10" s="10" t="n">
        <f aca="false">D10+C10/1440</f>
        <v>0.420833333333333</v>
      </c>
      <c r="F10" s="8"/>
      <c r="G10" s="8"/>
    </row>
    <row r="11" customFormat="false" ht="15" hidden="false" customHeight="true" outlineLevel="0" collapsed="false">
      <c r="A11" s="8" t="n">
        <v>5</v>
      </c>
      <c r="B11" s="9" t="s">
        <v>13</v>
      </c>
      <c r="C11" s="8" t="n">
        <v>3</v>
      </c>
      <c r="D11" s="10" t="n">
        <f aca="false">E10</f>
        <v>0.420833333333333</v>
      </c>
      <c r="E11" s="10" t="n">
        <f aca="false">D11+C11/1440</f>
        <v>0.422916666666667</v>
      </c>
      <c r="F11" s="8"/>
      <c r="G11" s="8"/>
    </row>
    <row r="12" customFormat="false" ht="15" hidden="false" customHeight="true" outlineLevel="0" collapsed="false">
      <c r="A12" s="8" t="n">
        <v>6</v>
      </c>
      <c r="B12" s="9" t="s">
        <v>15</v>
      </c>
      <c r="C12" s="8" t="n">
        <v>24</v>
      </c>
      <c r="D12" s="10" t="n">
        <f aca="false">E11</f>
        <v>0.422916666666667</v>
      </c>
      <c r="E12" s="10" t="n">
        <f aca="false">D12+C12/1440</f>
        <v>0.439583333333333</v>
      </c>
      <c r="F12" s="8"/>
      <c r="G12" s="8"/>
    </row>
    <row r="13" customFormat="false" ht="15" hidden="false" customHeight="true" outlineLevel="0" collapsed="false">
      <c r="A13" s="8" t="n">
        <v>7</v>
      </c>
      <c r="B13" s="9" t="s">
        <v>13</v>
      </c>
      <c r="C13" s="8" t="n">
        <v>3</v>
      </c>
      <c r="D13" s="10" t="n">
        <f aca="false">E12</f>
        <v>0.439583333333333</v>
      </c>
      <c r="E13" s="10" t="n">
        <f aca="false">D13+C13/1440</f>
        <v>0.441666666666667</v>
      </c>
      <c r="F13" s="8"/>
      <c r="G13" s="8"/>
    </row>
    <row r="14" customFormat="false" ht="15" hidden="false" customHeight="true" outlineLevel="0" collapsed="false">
      <c r="A14" s="8" t="n">
        <v>8</v>
      </c>
      <c r="B14" s="9" t="s">
        <v>16</v>
      </c>
      <c r="C14" s="8" t="n">
        <v>24</v>
      </c>
      <c r="D14" s="10" t="n">
        <f aca="false">E13</f>
        <v>0.441666666666667</v>
      </c>
      <c r="E14" s="10" t="n">
        <f aca="false">D14+C14/1440</f>
        <v>0.458333333333333</v>
      </c>
      <c r="F14" s="8"/>
      <c r="G14" s="8"/>
    </row>
    <row r="15" customFormat="false" ht="15" hidden="false" customHeight="true" outlineLevel="0" collapsed="false">
      <c r="A15" s="8" t="n">
        <v>9</v>
      </c>
      <c r="B15" s="9" t="s">
        <v>17</v>
      </c>
      <c r="C15" s="8" t="n">
        <v>15</v>
      </c>
      <c r="D15" s="10" t="n">
        <f aca="false">E14</f>
        <v>0.458333333333333</v>
      </c>
      <c r="E15" s="10" t="n">
        <f aca="false">D15+C15/1440</f>
        <v>0.46875</v>
      </c>
      <c r="F15" s="8"/>
      <c r="G15" s="8"/>
    </row>
    <row r="16" customFormat="false" ht="15" hidden="false" customHeight="true" outlineLevel="0" collapsed="false">
      <c r="A16" s="8" t="n">
        <v>10</v>
      </c>
      <c r="B16" s="9" t="s">
        <v>18</v>
      </c>
      <c r="C16" s="8" t="n">
        <v>24</v>
      </c>
      <c r="D16" s="10" t="n">
        <f aca="false">E15</f>
        <v>0.46875</v>
      </c>
      <c r="E16" s="10" t="n">
        <f aca="false">D16+C16/1440</f>
        <v>0.485416666666667</v>
      </c>
      <c r="F16" s="8"/>
      <c r="G16" s="8"/>
    </row>
    <row r="17" customFormat="false" ht="15" hidden="false" customHeight="true" outlineLevel="0" collapsed="false">
      <c r="A17" s="8" t="n">
        <v>11</v>
      </c>
      <c r="B17" s="9" t="s">
        <v>13</v>
      </c>
      <c r="C17" s="8" t="n">
        <v>3</v>
      </c>
      <c r="D17" s="10" t="n">
        <f aca="false">E16</f>
        <v>0.485416666666667</v>
      </c>
      <c r="E17" s="10" t="n">
        <f aca="false">D17+C17/1440</f>
        <v>0.4875</v>
      </c>
      <c r="F17" s="8"/>
      <c r="G17" s="8"/>
    </row>
    <row r="18" customFormat="false" ht="15" hidden="false" customHeight="true" outlineLevel="0" collapsed="false">
      <c r="A18" s="8" t="n">
        <v>12</v>
      </c>
      <c r="B18" s="9" t="s">
        <v>19</v>
      </c>
      <c r="C18" s="8" t="n">
        <v>24</v>
      </c>
      <c r="D18" s="10" t="n">
        <f aca="false">E17</f>
        <v>0.4875</v>
      </c>
      <c r="E18" s="10" t="n">
        <f aca="false">D18+C18/1440</f>
        <v>0.504166666666667</v>
      </c>
      <c r="F18" s="8"/>
      <c r="G18" s="8"/>
    </row>
    <row r="19" customFormat="false" ht="15" hidden="false" customHeight="true" outlineLevel="0" collapsed="false">
      <c r="A19" s="8" t="n">
        <v>13</v>
      </c>
      <c r="B19" s="9" t="s">
        <v>13</v>
      </c>
      <c r="C19" s="8" t="n">
        <v>3</v>
      </c>
      <c r="D19" s="10" t="n">
        <f aca="false">E18</f>
        <v>0.504166666666667</v>
      </c>
      <c r="E19" s="10" t="n">
        <f aca="false">D19+C19/1440</f>
        <v>0.50625</v>
      </c>
      <c r="F19" s="8"/>
      <c r="G19" s="8"/>
    </row>
    <row r="20" customFormat="false" ht="15" hidden="false" customHeight="true" outlineLevel="0" collapsed="false">
      <c r="A20" s="8" t="n">
        <v>14</v>
      </c>
      <c r="B20" s="9" t="s">
        <v>20</v>
      </c>
      <c r="C20" s="8" t="n">
        <v>24</v>
      </c>
      <c r="D20" s="10" t="n">
        <f aca="false">E19</f>
        <v>0.50625</v>
      </c>
      <c r="E20" s="10" t="n">
        <f aca="false">D20+C20/1440</f>
        <v>0.522916666666667</v>
      </c>
      <c r="F20" s="8"/>
      <c r="G20" s="8"/>
    </row>
    <row r="21" customFormat="false" ht="15" hidden="false" customHeight="true" outlineLevel="0" collapsed="false">
      <c r="A21" s="8" t="n">
        <v>15</v>
      </c>
      <c r="B21" s="9" t="s">
        <v>13</v>
      </c>
      <c r="C21" s="8" t="n">
        <v>3</v>
      </c>
      <c r="D21" s="10" t="n">
        <f aca="false">E20</f>
        <v>0.522916666666667</v>
      </c>
      <c r="E21" s="10" t="n">
        <f aca="false">D21+C21/1440</f>
        <v>0.525</v>
      </c>
      <c r="F21" s="8"/>
      <c r="G21" s="8"/>
    </row>
    <row r="22" customFormat="false" ht="15" hidden="false" customHeight="true" outlineLevel="0" collapsed="false">
      <c r="A22" s="8" t="n">
        <v>16</v>
      </c>
      <c r="B22" s="9" t="s">
        <v>21</v>
      </c>
      <c r="C22" s="8" t="n">
        <v>24</v>
      </c>
      <c r="D22" s="10" t="n">
        <f aca="false">E21</f>
        <v>0.525</v>
      </c>
      <c r="E22" s="10" t="n">
        <f aca="false">D22+C22/1440</f>
        <v>0.541666666666667</v>
      </c>
      <c r="F22" s="8"/>
      <c r="G22" s="8"/>
    </row>
    <row r="23" customFormat="false" ht="26.25" hidden="false" customHeight="true" outlineLevel="0" collapsed="false">
      <c r="A23" s="8" t="n">
        <v>17</v>
      </c>
      <c r="B23" s="9" t="s">
        <v>22</v>
      </c>
      <c r="C23" s="8" t="n">
        <v>15</v>
      </c>
      <c r="D23" s="10" t="n">
        <f aca="false">E22</f>
        <v>0.541666666666667</v>
      </c>
      <c r="E23" s="10" t="n">
        <f aca="false">D23+C23/1440</f>
        <v>0.552083333333333</v>
      </c>
      <c r="F23" s="8"/>
      <c r="G23" s="8"/>
    </row>
    <row r="24" customFormat="false" ht="15" hidden="false" customHeight="true" outlineLevel="0" collapsed="false">
      <c r="A24" s="8" t="n">
        <v>18</v>
      </c>
      <c r="B24" s="9" t="s">
        <v>23</v>
      </c>
      <c r="C24" s="8" t="n">
        <v>15</v>
      </c>
      <c r="D24" s="10" t="n">
        <f aca="false">E23</f>
        <v>0.552083333333333</v>
      </c>
      <c r="E24" s="10" t="n">
        <f aca="false">D24+C24/1440</f>
        <v>0.5625</v>
      </c>
      <c r="F24" s="8"/>
      <c r="G24" s="8"/>
    </row>
    <row r="25" customFormat="false" ht="15" hidden="false" customHeight="true" outlineLevel="0" collapsed="false">
      <c r="B25" s="11" t="s">
        <v>24</v>
      </c>
      <c r="C25" s="11" t="n">
        <f aca="false">SUM(C7:C24)</f>
        <v>270</v>
      </c>
    </row>
  </sheetData>
  <mergeCells count="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8"/>
    <col collapsed="false" customWidth="true" hidden="false" outlineLevel="0" max="2" min="2" style="1" width="22"/>
    <col collapsed="false" customWidth="true" hidden="false" outlineLevel="0" max="3" min="3" style="1" width="14"/>
    <col collapsed="false" customWidth="true" hidden="false" outlineLevel="0" max="4" min="4" style="1" width="26"/>
    <col collapsed="false" customWidth="true" hidden="false" outlineLevel="0" max="5" min="5" style="1" width="30"/>
    <col collapsed="false" customWidth="true" hidden="false" outlineLevel="0" max="7" min="6" style="1" width="16"/>
    <col collapsed="false" customWidth="true" hidden="false" outlineLevel="0" max="8" min="8" style="1" width="14"/>
    <col collapsed="false" customWidth="true" hidden="false" outlineLevel="0" max="10" min="9" style="1" width="16"/>
    <col collapsed="false" customWidth="true" hidden="false" outlineLevel="0" max="11" min="11" style="1" width="14"/>
    <col collapsed="false" customWidth="true" hidden="false" outlineLevel="0" max="12" min="12" style="1" width="12"/>
    <col collapsed="false" customWidth="true" hidden="false" outlineLevel="0" max="13" min="13" style="1" width="8"/>
    <col collapsed="false" customWidth="true" hidden="false" outlineLevel="0" max="14" min="14" style="1" width="26"/>
  </cols>
  <sheetData>
    <row r="1" customFormat="false" ht="17.25" hidden="false" customHeight="true" outlineLevel="0" collapsed="false">
      <c r="A1" s="2" t="s">
        <v>25</v>
      </c>
    </row>
    <row r="2" customFormat="false" ht="30" hidden="false" customHeight="true" outlineLevel="0" collapsed="false">
      <c r="A2" s="3" t="s">
        <v>26</v>
      </c>
      <c r="B2" s="3"/>
      <c r="C2" s="3"/>
      <c r="D2" s="3"/>
      <c r="E2" s="3"/>
      <c r="F2" s="3"/>
      <c r="G2" s="3"/>
      <c r="H2" s="3"/>
      <c r="I2" s="3"/>
      <c r="J2" s="3"/>
      <c r="K2" s="3"/>
    </row>
    <row r="3" customFormat="false" ht="30" hidden="false" customHeight="true" outlineLevel="0" collapsed="false">
      <c r="A3" s="12" t="s">
        <v>27</v>
      </c>
      <c r="B3" s="12"/>
      <c r="C3" s="12"/>
      <c r="D3" s="12"/>
      <c r="E3" s="12"/>
      <c r="F3" s="12"/>
      <c r="G3" s="12"/>
      <c r="H3" s="12"/>
      <c r="I3" s="12"/>
      <c r="J3" s="12"/>
      <c r="K3" s="12"/>
    </row>
    <row r="4" customFormat="false" ht="49.5" hidden="false" customHeight="true" outlineLevel="0" collapsed="false">
      <c r="A4" s="7" t="s">
        <v>28</v>
      </c>
      <c r="B4" s="7" t="s">
        <v>29</v>
      </c>
      <c r="C4" s="7" t="s">
        <v>30</v>
      </c>
      <c r="D4" s="7" t="s">
        <v>31</v>
      </c>
      <c r="E4" s="7" t="s">
        <v>32</v>
      </c>
      <c r="F4" s="7" t="s">
        <v>33</v>
      </c>
      <c r="G4" s="7" t="s">
        <v>34</v>
      </c>
      <c r="H4" s="7" t="s">
        <v>35</v>
      </c>
      <c r="I4" s="7" t="s">
        <v>36</v>
      </c>
      <c r="J4" s="7" t="s">
        <v>37</v>
      </c>
      <c r="K4" s="7" t="s">
        <v>38</v>
      </c>
      <c r="L4" s="7" t="s">
        <v>39</v>
      </c>
      <c r="M4" s="7" t="s">
        <v>40</v>
      </c>
      <c r="N4" s="7" t="s">
        <v>41</v>
      </c>
    </row>
    <row r="5" customFormat="false" ht="30" hidden="false" customHeight="true" outlineLevel="0" collapsed="false">
      <c r="A5" s="8" t="n">
        <v>1</v>
      </c>
      <c r="B5" s="8" t="s">
        <v>42</v>
      </c>
      <c r="C5" s="8" t="s">
        <v>43</v>
      </c>
      <c r="D5" s="8" t="s">
        <v>44</v>
      </c>
      <c r="E5" s="8" t="s">
        <v>45</v>
      </c>
      <c r="F5" s="13" t="n">
        <v>18</v>
      </c>
      <c r="G5" s="13" t="n">
        <v>18</v>
      </c>
      <c r="H5" s="8" t="n">
        <f aca="false">SUM(F5:G5)</f>
        <v>36</v>
      </c>
      <c r="I5" s="13" t="n">
        <v>18</v>
      </c>
      <c r="J5" s="13" t="n">
        <v>18</v>
      </c>
      <c r="K5" s="8" t="n">
        <f aca="false">SUM(I5:J5)</f>
        <v>36</v>
      </c>
      <c r="L5" s="8" t="n">
        <f aca="false">H5+K5</f>
        <v>72</v>
      </c>
      <c r="M5" s="8" t="n">
        <f aca="false">IF(L5="","",RANK(L5,$L$5:$L$12))</f>
        <v>1</v>
      </c>
      <c r="N5" s="8" t="s">
        <v>46</v>
      </c>
    </row>
    <row r="6" customFormat="false" ht="30" hidden="false" customHeight="true" outlineLevel="0" collapsed="false">
      <c r="A6" s="8" t="n">
        <v>2</v>
      </c>
      <c r="B6" s="8" t="s">
        <v>47</v>
      </c>
      <c r="C6" s="8"/>
      <c r="D6" s="8"/>
      <c r="E6" s="8"/>
      <c r="F6" s="13"/>
      <c r="G6" s="13"/>
      <c r="H6" s="8" t="n">
        <f aca="false">SUM(F6:G6)</f>
        <v>0</v>
      </c>
      <c r="I6" s="13"/>
      <c r="J6" s="13"/>
      <c r="K6" s="8" t="n">
        <f aca="false">SUM(I6:J6)</f>
        <v>0</v>
      </c>
      <c r="L6" s="8" t="n">
        <f aca="false">H6+K6</f>
        <v>0</v>
      </c>
      <c r="M6" s="8" t="n">
        <f aca="false">IF(L6="","",RANK(L6,$L$5:$L$12))</f>
        <v>2</v>
      </c>
      <c r="N6" s="8"/>
    </row>
    <row r="7" customFormat="false" ht="30" hidden="false" customHeight="true" outlineLevel="0" collapsed="false">
      <c r="A7" s="8" t="n">
        <v>3</v>
      </c>
      <c r="B7" s="8" t="s">
        <v>48</v>
      </c>
      <c r="C7" s="8"/>
      <c r="D7" s="8"/>
      <c r="E7" s="8"/>
      <c r="F7" s="13"/>
      <c r="G7" s="13"/>
      <c r="H7" s="8" t="n">
        <f aca="false">SUM(F7:G7)</f>
        <v>0</v>
      </c>
      <c r="I7" s="13"/>
      <c r="J7" s="13"/>
      <c r="K7" s="8" t="n">
        <f aca="false">SUM(I7:J7)</f>
        <v>0</v>
      </c>
      <c r="L7" s="8" t="n">
        <f aca="false">H7+K7</f>
        <v>0</v>
      </c>
      <c r="M7" s="8" t="n">
        <f aca="false">IF(L7="","",RANK(L7,$L$5:$L$12))</f>
        <v>2</v>
      </c>
      <c r="N7" s="8"/>
    </row>
    <row r="8" customFormat="false" ht="30" hidden="false" customHeight="true" outlineLevel="0" collapsed="false">
      <c r="A8" s="8" t="n">
        <v>4</v>
      </c>
      <c r="B8" s="8" t="s">
        <v>49</v>
      </c>
      <c r="C8" s="8"/>
      <c r="D8" s="8"/>
      <c r="E8" s="8"/>
      <c r="F8" s="13"/>
      <c r="G8" s="13"/>
      <c r="H8" s="8" t="n">
        <f aca="false">SUM(F8:G8)</f>
        <v>0</v>
      </c>
      <c r="I8" s="13"/>
      <c r="J8" s="13"/>
      <c r="K8" s="8" t="n">
        <f aca="false">SUM(I8:J8)</f>
        <v>0</v>
      </c>
      <c r="L8" s="8" t="n">
        <f aca="false">H8+K8</f>
        <v>0</v>
      </c>
      <c r="M8" s="8" t="n">
        <f aca="false">IF(L8="","",RANK(L8,$L$5:$L$12))</f>
        <v>2</v>
      </c>
      <c r="N8" s="8"/>
    </row>
    <row r="9" customFormat="false" ht="30" hidden="false" customHeight="true" outlineLevel="0" collapsed="false">
      <c r="A9" s="8" t="n">
        <v>5</v>
      </c>
      <c r="B9" s="8" t="s">
        <v>50</v>
      </c>
      <c r="C9" s="8"/>
      <c r="D9" s="8"/>
      <c r="E9" s="8"/>
      <c r="F9" s="13"/>
      <c r="G9" s="13"/>
      <c r="H9" s="8" t="n">
        <f aca="false">SUM(F9:G9)</f>
        <v>0</v>
      </c>
      <c r="I9" s="13"/>
      <c r="J9" s="13"/>
      <c r="K9" s="8" t="n">
        <f aca="false">SUM(I9:J9)</f>
        <v>0</v>
      </c>
      <c r="L9" s="8" t="n">
        <f aca="false">H9+K9</f>
        <v>0</v>
      </c>
      <c r="M9" s="8" t="n">
        <f aca="false">IF(L9="","",RANK(L9,$L$5:$L$12))</f>
        <v>2</v>
      </c>
      <c r="N9" s="8"/>
    </row>
    <row r="10" customFormat="false" ht="30" hidden="false" customHeight="true" outlineLevel="0" collapsed="false">
      <c r="A10" s="8" t="n">
        <v>6</v>
      </c>
      <c r="B10" s="8" t="s">
        <v>51</v>
      </c>
      <c r="C10" s="8"/>
      <c r="D10" s="8"/>
      <c r="E10" s="8"/>
      <c r="F10" s="13"/>
      <c r="G10" s="13"/>
      <c r="H10" s="8" t="n">
        <f aca="false">SUM(F10:G10)</f>
        <v>0</v>
      </c>
      <c r="I10" s="13"/>
      <c r="J10" s="13"/>
      <c r="K10" s="8" t="n">
        <f aca="false">SUM(I10:J10)</f>
        <v>0</v>
      </c>
      <c r="L10" s="8" t="n">
        <f aca="false">H10+K10</f>
        <v>0</v>
      </c>
      <c r="M10" s="8" t="n">
        <f aca="false">IF(L10="","",RANK(L10,$L$5:$L$12))</f>
        <v>2</v>
      </c>
      <c r="N10" s="8"/>
    </row>
    <row r="11" customFormat="false" ht="30" hidden="false" customHeight="true" outlineLevel="0" collapsed="false">
      <c r="A11" s="8" t="n">
        <v>7</v>
      </c>
      <c r="B11" s="8" t="s">
        <v>52</v>
      </c>
      <c r="C11" s="8"/>
      <c r="D11" s="8"/>
      <c r="E11" s="8"/>
      <c r="F11" s="13"/>
      <c r="G11" s="13"/>
      <c r="H11" s="8" t="n">
        <f aca="false">SUM(F11:G11)</f>
        <v>0</v>
      </c>
      <c r="I11" s="13"/>
      <c r="J11" s="13"/>
      <c r="K11" s="8" t="n">
        <f aca="false">SUM(I11:J11)</f>
        <v>0</v>
      </c>
      <c r="L11" s="8" t="n">
        <f aca="false">H11+K11</f>
        <v>0</v>
      </c>
      <c r="M11" s="8" t="n">
        <f aca="false">IF(L11="","",RANK(L11,$L$5:$L$12))</f>
        <v>2</v>
      </c>
      <c r="N11" s="8"/>
    </row>
    <row r="12" customFormat="false" ht="30" hidden="false" customHeight="true" outlineLevel="0" collapsed="false">
      <c r="A12" s="8" t="n">
        <v>8</v>
      </c>
      <c r="B12" s="8" t="s">
        <v>53</v>
      </c>
      <c r="C12" s="8"/>
      <c r="D12" s="8"/>
      <c r="E12" s="8"/>
      <c r="F12" s="13"/>
      <c r="G12" s="13"/>
      <c r="H12" s="8" t="n">
        <f aca="false">SUM(F12:G12)</f>
        <v>0</v>
      </c>
      <c r="I12" s="13"/>
      <c r="J12" s="13"/>
      <c r="K12" s="8" t="n">
        <f aca="false">SUM(I12:J12)</f>
        <v>0</v>
      </c>
      <c r="L12" s="8" t="n">
        <f aca="false">H12+K12</f>
        <v>0</v>
      </c>
      <c r="M12" s="8" t="n">
        <f aca="false">IF(L12="","",RANK(L12,$L$5:$L$12))</f>
        <v>2</v>
      </c>
      <c r="N12" s="8"/>
    </row>
    <row r="13" customFormat="false" ht="15" hidden="false" customHeight="true" outlineLevel="0" collapsed="false"/>
    <row r="14" customFormat="false" ht="15" hidden="false" customHeight="true" outlineLevel="0" collapsed="false">
      <c r="B14" s="5" t="s">
        <v>54</v>
      </c>
      <c r="L14" s="5" t="n">
        <f aca="false">AVERAGE(L5:L12)</f>
        <v>9</v>
      </c>
    </row>
  </sheetData>
  <mergeCells count="2">
    <mergeCell ref="A2:K2"/>
    <mergeCell ref="A3:K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2"/>
    <col collapsed="false" customWidth="true" hidden="false" outlineLevel="0" max="4" min="2" style="1" width="30"/>
    <col collapsed="false" customWidth="true" hidden="false" outlineLevel="0" max="5" min="5" style="1" width="34"/>
  </cols>
  <sheetData>
    <row r="1" customFormat="false" ht="17.25" hidden="false" customHeight="true" outlineLevel="0" collapsed="false">
      <c r="A1" s="2" t="s">
        <v>55</v>
      </c>
    </row>
    <row r="2" customFormat="false" ht="60" hidden="false" customHeight="true" outlineLevel="0" collapsed="false">
      <c r="A2" s="3" t="s">
        <v>56</v>
      </c>
      <c r="B2" s="3"/>
      <c r="C2" s="3"/>
      <c r="D2" s="3"/>
      <c r="E2" s="3"/>
    </row>
    <row r="4" customFormat="false" ht="30" hidden="false" customHeight="true" outlineLevel="0" collapsed="false">
      <c r="A4" s="7" t="s">
        <v>57</v>
      </c>
      <c r="B4" s="7" t="s">
        <v>58</v>
      </c>
      <c r="C4" s="7" t="s">
        <v>59</v>
      </c>
      <c r="D4" s="7" t="s">
        <v>60</v>
      </c>
      <c r="E4" s="7" t="s">
        <v>61</v>
      </c>
    </row>
    <row r="5" customFormat="false" ht="79.5" hidden="false" customHeight="true" outlineLevel="0" collapsed="false">
      <c r="A5" s="14" t="s">
        <v>62</v>
      </c>
      <c r="B5" s="9" t="s">
        <v>63</v>
      </c>
      <c r="C5" s="9" t="s">
        <v>64</v>
      </c>
      <c r="D5" s="9" t="s">
        <v>65</v>
      </c>
      <c r="E5" s="9" t="s">
        <v>66</v>
      </c>
    </row>
    <row r="6" customFormat="false" ht="79.5" hidden="false" customHeight="true" outlineLevel="0" collapsed="false">
      <c r="A6" s="14" t="s">
        <v>67</v>
      </c>
      <c r="B6" s="9" t="s">
        <v>68</v>
      </c>
      <c r="C6" s="9" t="s">
        <v>69</v>
      </c>
      <c r="D6" s="9" t="s">
        <v>70</v>
      </c>
      <c r="E6" s="9" t="s">
        <v>71</v>
      </c>
    </row>
    <row r="7" customFormat="false" ht="79.5" hidden="false" customHeight="true" outlineLevel="0" collapsed="false">
      <c r="A7" s="14" t="s">
        <v>72</v>
      </c>
      <c r="B7" s="9" t="s">
        <v>73</v>
      </c>
      <c r="C7" s="9" t="s">
        <v>74</v>
      </c>
      <c r="D7" s="9" t="s">
        <v>75</v>
      </c>
      <c r="E7" s="9" t="s">
        <v>76</v>
      </c>
    </row>
    <row r="8" customFormat="false" ht="79.5" hidden="false" customHeight="true" outlineLevel="0" collapsed="false">
      <c r="A8" s="14" t="s">
        <v>77</v>
      </c>
      <c r="B8" s="9" t="s">
        <v>78</v>
      </c>
      <c r="C8" s="9" t="s">
        <v>79</v>
      </c>
      <c r="D8" s="9" t="s">
        <v>80</v>
      </c>
      <c r="E8" s="9" t="s">
        <v>81</v>
      </c>
    </row>
  </sheetData>
  <mergeCells count="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2026-09-17T21:44:36Z</dcterms:created>
  <dc:creator>openpyxl</dc:creator>
  <dc:description/>
  <dc:language>en-US</dc:language>
  <cp:lastModifiedBy/>
  <dcterms:modified xsi:type="dcterms:W3CDTF">2026-09-17T23:33:54Z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